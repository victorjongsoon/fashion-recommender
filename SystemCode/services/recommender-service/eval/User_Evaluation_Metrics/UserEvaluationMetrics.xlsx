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wnloads\User_Evaluation_Metrics\"/>
    </mc:Choice>
  </mc:AlternateContent>
  <xr:revisionPtr revIDLastSave="0" documentId="13_ncr:1_{C859847C-A409-433F-88F3-EB75C7FD43AD}" xr6:coauthVersionLast="47" xr6:coauthVersionMax="47" xr10:uidLastSave="{00000000-0000-0000-0000-000000000000}"/>
  <bookViews>
    <workbookView xWindow="-120" yWindow="-120" windowWidth="29040" windowHeight="15720" xr2:uid="{8D7F1A06-760D-46D9-AC64-FD1B47CA86D6}"/>
  </bookViews>
  <sheets>
    <sheet name="KG" sheetId="1" r:id="rId1"/>
    <sheet name="KG+GA" sheetId="2" r:id="rId2"/>
    <sheet name="Survey 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3" i="2" l="1"/>
  <c r="Q12" i="2"/>
  <c r="Q11" i="2"/>
  <c r="Q10" i="2"/>
  <c r="Q9" i="2"/>
  <c r="Q8" i="2"/>
  <c r="Q7" i="2"/>
  <c r="Q6" i="2"/>
  <c r="Q5" i="2"/>
  <c r="Q4" i="2"/>
  <c r="Q3" i="2"/>
  <c r="Q2" i="2"/>
  <c r="Q3" i="1"/>
  <c r="Q4" i="1"/>
  <c r="Q5" i="1"/>
  <c r="Q6" i="1"/>
  <c r="Q7" i="1"/>
  <c r="Q8" i="1"/>
  <c r="Q9" i="1"/>
  <c r="Q10" i="1"/>
  <c r="Q11" i="1"/>
  <c r="Q12" i="1"/>
  <c r="Q13" i="1"/>
  <c r="Q2" i="1"/>
</calcChain>
</file>

<file path=xl/sharedStrings.xml><?xml version="1.0" encoding="utf-8"?>
<sst xmlns="http://schemas.openxmlformats.org/spreadsheetml/2006/main" count="302" uniqueCount="88">
  <si>
    <t>Scenario</t>
  </si>
  <si>
    <t>Outfit</t>
  </si>
  <si>
    <t>Active Stock</t>
  </si>
  <si>
    <t>Total Dead stock</t>
  </si>
  <si>
    <t>Top Price</t>
  </si>
  <si>
    <t>Bottom Price</t>
  </si>
  <si>
    <t>Total Price</t>
  </si>
  <si>
    <t>Top ID</t>
  </si>
  <si>
    <t>Bottom ID</t>
  </si>
  <si>
    <t>Occasion</t>
  </si>
  <si>
    <t>Location</t>
  </si>
  <si>
    <t>Month</t>
  </si>
  <si>
    <t>Gender</t>
  </si>
  <si>
    <t>Budget</t>
  </si>
  <si>
    <t>Preferred colors</t>
  </si>
  <si>
    <t>Casual</t>
  </si>
  <si>
    <t>Singapore</t>
  </si>
  <si>
    <t>June (Summer)</t>
  </si>
  <si>
    <t>Menswear</t>
  </si>
  <si>
    <t>none</t>
  </si>
  <si>
    <t>London</t>
  </si>
  <si>
    <t>Formal</t>
  </si>
  <si>
    <t>December (Winter)</t>
  </si>
  <si>
    <t>Black, Grey</t>
  </si>
  <si>
    <t>Tokyo</t>
  </si>
  <si>
    <t>Party</t>
  </si>
  <si>
    <t>April (Spring)</t>
  </si>
  <si>
    <t>Ladieswear</t>
  </si>
  <si>
    <t>Red, Pink</t>
  </si>
  <si>
    <t>Green</t>
  </si>
  <si>
    <t>Sport</t>
  </si>
  <si>
    <t>New York</t>
  </si>
  <si>
    <t>0443078014</t>
  </si>
  <si>
    <t>0617036003</t>
  </si>
  <si>
    <t>0719977001</t>
  </si>
  <si>
    <t>0633232003</t>
  </si>
  <si>
    <t>Top Active/Dead Stock?</t>
  </si>
  <si>
    <t>Bottom Active/Dead Stock?</t>
  </si>
  <si>
    <t>0691717002</t>
  </si>
  <si>
    <t>0471714013</t>
  </si>
  <si>
    <t>0573418002</t>
  </si>
  <si>
    <t>0636585006</t>
  </si>
  <si>
    <t>0852122001</t>
  </si>
  <si>
    <t>0892337003</t>
  </si>
  <si>
    <t>0558370003</t>
  </si>
  <si>
    <t>0637158002</t>
  </si>
  <si>
    <t>0815264016</t>
  </si>
  <si>
    <t>0699623004</t>
  </si>
  <si>
    <t>0812320004</t>
  </si>
  <si>
    <t>0776742003</t>
  </si>
  <si>
    <t>Avoid colors</t>
  </si>
  <si>
    <t>0687707003</t>
  </si>
  <si>
    <t>0710650001</t>
  </si>
  <si>
    <t>0781820005</t>
  </si>
  <si>
    <t>0558192004</t>
  </si>
  <si>
    <t>Dead Stock</t>
  </si>
  <si>
    <t>0633162017</t>
  </si>
  <si>
    <t>0827397009</t>
  </si>
  <si>
    <t>0715610012</t>
  </si>
  <si>
    <t>0532999001</t>
  </si>
  <si>
    <t>0662553003</t>
  </si>
  <si>
    <t>0564415003</t>
  </si>
  <si>
    <t>0677287001</t>
  </si>
  <si>
    <t>0744310001</t>
  </si>
  <si>
    <t>0400342003</t>
  </si>
  <si>
    <t>0759455001</t>
  </si>
  <si>
    <t>0744531001</t>
  </si>
  <si>
    <t>0600197005</t>
  </si>
  <si>
    <t>0650677003</t>
  </si>
  <si>
    <t>0730124002</t>
  </si>
  <si>
    <t>0778075002</t>
  </si>
  <si>
    <t>July (Summer)</t>
  </si>
  <si>
    <t>0757813008</t>
  </si>
  <si>
    <t>0488561021</t>
  </si>
  <si>
    <t>0392269014</t>
  </si>
  <si>
    <t>0659373001</t>
  </si>
  <si>
    <t>0504960004</t>
  </si>
  <si>
    <t>0630084001</t>
  </si>
  <si>
    <t>0679849001</t>
  </si>
  <si>
    <t>0691287002</t>
  </si>
  <si>
    <t>0736769017</t>
  </si>
  <si>
    <t>0759597003</t>
  </si>
  <si>
    <t>0508638029</t>
  </si>
  <si>
    <t>0665532003</t>
  </si>
  <si>
    <t>KG</t>
  </si>
  <si>
    <t>KG+GA</t>
  </si>
  <si>
    <t>Option 1</t>
  </si>
  <si>
    <t>Option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</si>
</sst>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8" fontId="0" fillId="0" borderId="1" xfId="0" applyNumberFormat="1" applyBorder="1"/>
    <xf numFmtId="8" fontId="1" fillId="0" borderId="1" xfId="0" applyNumberFormat="1" applyFont="1" applyBorder="1"/>
    <xf numFmtId="6" fontId="0" fillId="0" borderId="1" xfId="0" applyNumberFormat="1" applyBorder="1"/>
    <xf numFmtId="49" fontId="0" fillId="0" borderId="1" xfId="0" applyNumberFormat="1" applyBorder="1"/>
    <xf numFmtId="8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FB8C-7B27-4BE6-9F97-FB1484F2461A}">
  <dimension ref="A1:Q13"/>
  <sheetViews>
    <sheetView tabSelected="1" zoomScale="115" zoomScaleNormal="115" workbookViewId="0">
      <selection activeCell="J14" sqref="J14"/>
    </sheetView>
  </sheetViews>
  <sheetFormatPr defaultRowHeight="15" x14ac:dyDescent="0.25"/>
  <cols>
    <col min="1" max="1" width="8.7109375" bestFit="1" customWidth="1"/>
    <col min="2" max="2" width="9.42578125" bestFit="1" customWidth="1"/>
    <col min="3" max="3" width="9.85546875" bestFit="1" customWidth="1"/>
    <col min="4" max="4" width="17.7109375" bestFit="1" customWidth="1"/>
    <col min="5" max="5" width="11" bestFit="1" customWidth="1"/>
    <col min="6" max="6" width="7" bestFit="1" customWidth="1"/>
    <col min="7" max="7" width="15.140625" bestFit="1" customWidth="1"/>
    <col min="8" max="8" width="11.85546875" bestFit="1" customWidth="1"/>
    <col min="9" max="9" width="5.85546875" bestFit="1" customWidth="1"/>
    <col min="10" max="11" width="12" bestFit="1" customWidth="1"/>
    <col min="12" max="12" width="21.7109375" bestFit="1" customWidth="1"/>
    <col min="13" max="13" width="24.7109375" bestFit="1" customWidth="1"/>
    <col min="14" max="14" width="15.7109375" bestFit="1" customWidth="1"/>
    <col min="16" max="16" width="12.140625" bestFit="1" customWidth="1"/>
    <col min="17" max="17" width="10.28515625" bestFit="1" customWidth="1"/>
  </cols>
  <sheetData>
    <row r="1" spans="1:17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50</v>
      </c>
      <c r="I1" s="1" t="s">
        <v>1</v>
      </c>
      <c r="J1" s="1" t="s">
        <v>7</v>
      </c>
      <c r="K1" s="1" t="s">
        <v>8</v>
      </c>
      <c r="L1" s="1" t="s">
        <v>36</v>
      </c>
      <c r="M1" s="1" t="s">
        <v>37</v>
      </c>
      <c r="N1" s="1" t="s">
        <v>3</v>
      </c>
      <c r="O1" s="1" t="s">
        <v>4</v>
      </c>
      <c r="P1" s="1" t="s">
        <v>5</v>
      </c>
      <c r="Q1" s="1" t="s">
        <v>6</v>
      </c>
    </row>
    <row r="2" spans="1:17" x14ac:dyDescent="0.2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4">
        <v>100</v>
      </c>
      <c r="G2" s="1" t="s">
        <v>19</v>
      </c>
      <c r="H2" s="1" t="s">
        <v>19</v>
      </c>
      <c r="I2" s="1">
        <v>1</v>
      </c>
      <c r="J2" s="5" t="s">
        <v>38</v>
      </c>
      <c r="K2" s="5" t="s">
        <v>39</v>
      </c>
      <c r="L2" s="1" t="s">
        <v>2</v>
      </c>
      <c r="M2" s="1" t="s">
        <v>2</v>
      </c>
      <c r="N2" s="1">
        <v>0</v>
      </c>
      <c r="O2" s="2">
        <v>16.440000000000001</v>
      </c>
      <c r="P2" s="2">
        <v>16.53</v>
      </c>
      <c r="Q2" s="3">
        <f>O2+P2</f>
        <v>32.97</v>
      </c>
    </row>
    <row r="3" spans="1:17" x14ac:dyDescent="0.25">
      <c r="A3" s="1">
        <v>1</v>
      </c>
      <c r="B3" s="1" t="s">
        <v>15</v>
      </c>
      <c r="C3" s="1" t="s">
        <v>16</v>
      </c>
      <c r="D3" s="1" t="s">
        <v>17</v>
      </c>
      <c r="E3" s="1" t="s">
        <v>18</v>
      </c>
      <c r="F3" s="4">
        <v>100</v>
      </c>
      <c r="G3" s="1" t="s">
        <v>19</v>
      </c>
      <c r="H3" s="1" t="s">
        <v>19</v>
      </c>
      <c r="I3" s="1">
        <v>2</v>
      </c>
      <c r="J3" s="5" t="s">
        <v>32</v>
      </c>
      <c r="K3" s="5" t="s">
        <v>33</v>
      </c>
      <c r="L3" s="1" t="s">
        <v>2</v>
      </c>
      <c r="M3" s="1" t="s">
        <v>2</v>
      </c>
      <c r="N3" s="1">
        <v>0</v>
      </c>
      <c r="O3" s="2">
        <v>64.819999999999993</v>
      </c>
      <c r="P3" s="2">
        <v>59.04</v>
      </c>
      <c r="Q3" s="3">
        <f t="shared" ref="Q3:Q13" si="0">O3+P3</f>
        <v>123.85999999999999</v>
      </c>
    </row>
    <row r="4" spans="1:17" x14ac:dyDescent="0.25">
      <c r="A4" s="1">
        <v>1</v>
      </c>
      <c r="B4" s="1" t="s">
        <v>15</v>
      </c>
      <c r="C4" s="1" t="s">
        <v>16</v>
      </c>
      <c r="D4" s="1" t="s">
        <v>17</v>
      </c>
      <c r="E4" s="1" t="s">
        <v>18</v>
      </c>
      <c r="F4" s="4">
        <v>100</v>
      </c>
      <c r="G4" s="1" t="s">
        <v>19</v>
      </c>
      <c r="H4" s="1" t="s">
        <v>19</v>
      </c>
      <c r="I4" s="1">
        <v>3</v>
      </c>
      <c r="J4" s="5" t="s">
        <v>34</v>
      </c>
      <c r="K4" s="5" t="s">
        <v>35</v>
      </c>
      <c r="L4" s="1" t="s">
        <v>2</v>
      </c>
      <c r="M4" s="1" t="s">
        <v>2</v>
      </c>
      <c r="N4" s="1">
        <v>0</v>
      </c>
      <c r="O4" s="2">
        <v>82.63</v>
      </c>
      <c r="P4" s="2">
        <v>57.25</v>
      </c>
      <c r="Q4" s="3">
        <f t="shared" si="0"/>
        <v>139.88</v>
      </c>
    </row>
    <row r="5" spans="1:17" x14ac:dyDescent="0.25">
      <c r="A5" s="1">
        <v>2</v>
      </c>
      <c r="B5" t="s">
        <v>21</v>
      </c>
      <c r="C5" s="1" t="s">
        <v>20</v>
      </c>
      <c r="D5" s="1" t="s">
        <v>22</v>
      </c>
      <c r="E5" s="1" t="s">
        <v>18</v>
      </c>
      <c r="F5" s="4">
        <v>150</v>
      </c>
      <c r="G5" s="1" t="s">
        <v>23</v>
      </c>
      <c r="H5" s="1" t="s">
        <v>19</v>
      </c>
      <c r="I5" s="1">
        <v>1</v>
      </c>
      <c r="J5" s="5" t="s">
        <v>40</v>
      </c>
      <c r="K5" s="5" t="s">
        <v>41</v>
      </c>
      <c r="L5" s="1" t="s">
        <v>2</v>
      </c>
      <c r="M5" s="1" t="s">
        <v>2</v>
      </c>
      <c r="N5" s="1">
        <v>0</v>
      </c>
      <c r="O5" s="6">
        <v>88.18</v>
      </c>
      <c r="P5" s="2">
        <v>17.399999999999999</v>
      </c>
      <c r="Q5" s="3">
        <f t="shared" si="0"/>
        <v>105.58000000000001</v>
      </c>
    </row>
    <row r="6" spans="1:17" x14ac:dyDescent="0.25">
      <c r="A6" s="1">
        <v>2</v>
      </c>
      <c r="B6" s="1" t="s">
        <v>21</v>
      </c>
      <c r="C6" s="1" t="s">
        <v>20</v>
      </c>
      <c r="D6" s="1" t="s">
        <v>22</v>
      </c>
      <c r="E6" s="1" t="s">
        <v>18</v>
      </c>
      <c r="F6" s="4">
        <v>150</v>
      </c>
      <c r="G6" s="1" t="s">
        <v>23</v>
      </c>
      <c r="H6" s="1" t="s">
        <v>19</v>
      </c>
      <c r="I6" s="1">
        <v>2</v>
      </c>
      <c r="J6" s="5" t="s">
        <v>42</v>
      </c>
      <c r="K6" s="5" t="s">
        <v>43</v>
      </c>
      <c r="L6" s="1" t="s">
        <v>2</v>
      </c>
      <c r="M6" s="1" t="s">
        <v>2</v>
      </c>
      <c r="N6" s="1">
        <v>0</v>
      </c>
      <c r="O6" s="2">
        <v>113.28</v>
      </c>
      <c r="P6" s="2">
        <v>114.51</v>
      </c>
      <c r="Q6" s="3">
        <f t="shared" si="0"/>
        <v>227.79000000000002</v>
      </c>
    </row>
    <row r="7" spans="1:17" x14ac:dyDescent="0.25">
      <c r="A7" s="1">
        <v>2</v>
      </c>
      <c r="B7" s="1" t="s">
        <v>21</v>
      </c>
      <c r="C7" s="1" t="s">
        <v>20</v>
      </c>
      <c r="D7" s="1" t="s">
        <v>22</v>
      </c>
      <c r="E7" s="1" t="s">
        <v>18</v>
      </c>
      <c r="F7" s="4">
        <v>150</v>
      </c>
      <c r="G7" s="1" t="s">
        <v>23</v>
      </c>
      <c r="H7" s="1" t="s">
        <v>19</v>
      </c>
      <c r="I7" s="1">
        <v>3</v>
      </c>
      <c r="J7" s="5" t="s">
        <v>51</v>
      </c>
      <c r="K7" s="5" t="s">
        <v>52</v>
      </c>
      <c r="L7" s="1" t="s">
        <v>2</v>
      </c>
      <c r="M7" s="1" t="s">
        <v>2</v>
      </c>
      <c r="N7" s="1">
        <v>0</v>
      </c>
      <c r="O7" s="2">
        <v>68.19</v>
      </c>
      <c r="P7" s="6">
        <v>95.15</v>
      </c>
      <c r="Q7" s="3">
        <f t="shared" si="0"/>
        <v>163.34</v>
      </c>
    </row>
    <row r="8" spans="1:17" x14ac:dyDescent="0.25">
      <c r="A8" s="1">
        <v>3</v>
      </c>
      <c r="B8" s="1" t="s">
        <v>25</v>
      </c>
      <c r="C8" s="1" t="s">
        <v>24</v>
      </c>
      <c r="D8" s="1" t="s">
        <v>26</v>
      </c>
      <c r="E8" s="1" t="s">
        <v>27</v>
      </c>
      <c r="F8" s="4">
        <v>120</v>
      </c>
      <c r="G8" s="1" t="s">
        <v>28</v>
      </c>
      <c r="H8" s="1" t="s">
        <v>29</v>
      </c>
      <c r="I8" s="1">
        <v>1</v>
      </c>
      <c r="J8" s="5" t="s">
        <v>48</v>
      </c>
      <c r="K8" s="5" t="s">
        <v>49</v>
      </c>
      <c r="L8" s="1" t="s">
        <v>2</v>
      </c>
      <c r="M8" s="1" t="s">
        <v>2</v>
      </c>
      <c r="N8" s="1">
        <v>0</v>
      </c>
      <c r="O8" s="2">
        <v>36.22</v>
      </c>
      <c r="P8" s="6">
        <v>155.07</v>
      </c>
      <c r="Q8" s="3">
        <f t="shared" si="0"/>
        <v>191.29</v>
      </c>
    </row>
    <row r="9" spans="1:17" x14ac:dyDescent="0.25">
      <c r="A9" s="1">
        <v>3</v>
      </c>
      <c r="B9" s="1" t="s">
        <v>25</v>
      </c>
      <c r="C9" s="1" t="s">
        <v>24</v>
      </c>
      <c r="D9" s="1" t="s">
        <v>26</v>
      </c>
      <c r="E9" s="1" t="s">
        <v>27</v>
      </c>
      <c r="F9" s="4">
        <v>120</v>
      </c>
      <c r="G9" s="1" t="s">
        <v>28</v>
      </c>
      <c r="H9" s="1" t="s">
        <v>29</v>
      </c>
      <c r="I9" s="1">
        <v>2</v>
      </c>
      <c r="J9" s="5" t="s">
        <v>47</v>
      </c>
      <c r="K9" s="5" t="s">
        <v>46</v>
      </c>
      <c r="L9" s="1" t="s">
        <v>2</v>
      </c>
      <c r="M9" s="1" t="s">
        <v>2</v>
      </c>
      <c r="N9" s="1">
        <v>0</v>
      </c>
      <c r="O9" s="2">
        <v>96.85</v>
      </c>
      <c r="P9" s="2">
        <v>28.75</v>
      </c>
      <c r="Q9" s="3">
        <f t="shared" si="0"/>
        <v>125.6</v>
      </c>
    </row>
    <row r="10" spans="1:17" x14ac:dyDescent="0.25">
      <c r="A10" s="1">
        <v>3</v>
      </c>
      <c r="B10" s="1" t="s">
        <v>25</v>
      </c>
      <c r="C10" s="1" t="s">
        <v>24</v>
      </c>
      <c r="D10" s="1" t="s">
        <v>26</v>
      </c>
      <c r="E10" s="1" t="s">
        <v>27</v>
      </c>
      <c r="F10" s="4">
        <v>120</v>
      </c>
      <c r="G10" s="1" t="s">
        <v>28</v>
      </c>
      <c r="H10" s="1" t="s">
        <v>29</v>
      </c>
      <c r="I10" s="1">
        <v>3</v>
      </c>
      <c r="J10" s="5" t="s">
        <v>44</v>
      </c>
      <c r="K10" s="5" t="s">
        <v>45</v>
      </c>
      <c r="L10" s="1" t="s">
        <v>2</v>
      </c>
      <c r="M10" s="1" t="s">
        <v>2</v>
      </c>
      <c r="N10" s="1">
        <v>0</v>
      </c>
      <c r="O10" s="2">
        <v>35.06</v>
      </c>
      <c r="P10" s="2">
        <v>35.159999999999997</v>
      </c>
      <c r="Q10" s="3">
        <f t="shared" si="0"/>
        <v>70.22</v>
      </c>
    </row>
    <row r="11" spans="1:17" x14ac:dyDescent="0.25">
      <c r="A11" s="1">
        <v>4</v>
      </c>
      <c r="B11" s="1" t="s">
        <v>30</v>
      </c>
      <c r="C11" s="1" t="s">
        <v>31</v>
      </c>
      <c r="D11" s="1" t="s">
        <v>71</v>
      </c>
      <c r="E11" s="1" t="s">
        <v>18</v>
      </c>
      <c r="F11" s="4">
        <v>150</v>
      </c>
      <c r="G11" s="1" t="s">
        <v>19</v>
      </c>
      <c r="H11" s="1" t="s">
        <v>19</v>
      </c>
      <c r="I11" s="1">
        <v>1</v>
      </c>
      <c r="J11" s="5" t="s">
        <v>82</v>
      </c>
      <c r="K11" s="5" t="s">
        <v>83</v>
      </c>
      <c r="L11" s="1" t="s">
        <v>2</v>
      </c>
      <c r="M11" s="1" t="s">
        <v>2</v>
      </c>
      <c r="N11" s="1">
        <v>0</v>
      </c>
      <c r="O11" s="2">
        <v>13.54</v>
      </c>
      <c r="P11" s="2">
        <v>114.78</v>
      </c>
      <c r="Q11" s="3">
        <f t="shared" si="0"/>
        <v>128.32</v>
      </c>
    </row>
    <row r="12" spans="1:17" x14ac:dyDescent="0.25">
      <c r="A12" s="1">
        <v>4</v>
      </c>
      <c r="B12" s="1" t="s">
        <v>30</v>
      </c>
      <c r="C12" s="1" t="s">
        <v>31</v>
      </c>
      <c r="D12" s="1" t="s">
        <v>71</v>
      </c>
      <c r="E12" s="1" t="s">
        <v>18</v>
      </c>
      <c r="F12" s="4">
        <v>150</v>
      </c>
      <c r="G12" s="1" t="s">
        <v>19</v>
      </c>
      <c r="H12" s="1" t="s">
        <v>19</v>
      </c>
      <c r="I12" s="1">
        <v>2</v>
      </c>
      <c r="J12" s="5" t="s">
        <v>78</v>
      </c>
      <c r="K12" s="5" t="s">
        <v>79</v>
      </c>
      <c r="L12" s="1" t="s">
        <v>2</v>
      </c>
      <c r="M12" s="1" t="s">
        <v>2</v>
      </c>
      <c r="N12" s="1">
        <v>0</v>
      </c>
      <c r="O12" s="6">
        <v>19.989999999999998</v>
      </c>
      <c r="P12" s="2">
        <v>45.34</v>
      </c>
      <c r="Q12" s="3">
        <f t="shared" si="0"/>
        <v>65.33</v>
      </c>
    </row>
    <row r="13" spans="1:17" x14ac:dyDescent="0.25">
      <c r="A13" s="1">
        <v>4</v>
      </c>
      <c r="B13" s="1" t="s">
        <v>30</v>
      </c>
      <c r="C13" s="1" t="s">
        <v>31</v>
      </c>
      <c r="D13" s="1" t="s">
        <v>71</v>
      </c>
      <c r="E13" s="1" t="s">
        <v>18</v>
      </c>
      <c r="F13" s="4">
        <v>150</v>
      </c>
      <c r="G13" s="1" t="s">
        <v>19</v>
      </c>
      <c r="H13" s="1" t="s">
        <v>19</v>
      </c>
      <c r="I13" s="1">
        <v>3</v>
      </c>
      <c r="J13" s="5" t="s">
        <v>80</v>
      </c>
      <c r="K13" s="5" t="s">
        <v>81</v>
      </c>
      <c r="L13" s="1" t="s">
        <v>2</v>
      </c>
      <c r="M13" s="1" t="s">
        <v>2</v>
      </c>
      <c r="N13" s="1">
        <v>0</v>
      </c>
      <c r="O13" s="2">
        <v>19.13</v>
      </c>
      <c r="P13" s="2">
        <v>57.27</v>
      </c>
      <c r="Q13" s="3">
        <f t="shared" si="0"/>
        <v>76.400000000000006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DDF7-4E15-4638-8717-858A3C1E6C0A}">
  <dimension ref="A1:Q13"/>
  <sheetViews>
    <sheetView zoomScale="115" zoomScaleNormal="115" workbookViewId="0">
      <selection activeCell="L23" sqref="L23"/>
    </sheetView>
  </sheetViews>
  <sheetFormatPr defaultRowHeight="15" x14ac:dyDescent="0.25"/>
  <cols>
    <col min="1" max="1" width="8.7109375" bestFit="1" customWidth="1"/>
    <col min="2" max="2" width="9.42578125" bestFit="1" customWidth="1"/>
    <col min="3" max="3" width="9.85546875" bestFit="1" customWidth="1"/>
    <col min="4" max="4" width="17.7109375" bestFit="1" customWidth="1"/>
    <col min="5" max="5" width="11" bestFit="1" customWidth="1"/>
    <col min="6" max="6" width="7.140625" bestFit="1" customWidth="1"/>
    <col min="7" max="7" width="15.140625" bestFit="1" customWidth="1"/>
    <col min="8" max="8" width="11.85546875" bestFit="1" customWidth="1"/>
    <col min="9" max="9" width="6" bestFit="1" customWidth="1"/>
    <col min="10" max="11" width="12.28515625" bestFit="1" customWidth="1"/>
    <col min="12" max="12" width="21.7109375" bestFit="1" customWidth="1"/>
    <col min="13" max="13" width="24.7109375" bestFit="1" customWidth="1"/>
    <col min="14" max="14" width="15.7109375" bestFit="1" customWidth="1"/>
    <col min="16" max="16" width="12.140625" bestFit="1" customWidth="1"/>
    <col min="17" max="17" width="10.28515625" bestFit="1" customWidth="1"/>
  </cols>
  <sheetData>
    <row r="1" spans="1:17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50</v>
      </c>
      <c r="I1" s="1" t="s">
        <v>1</v>
      </c>
      <c r="J1" s="1" t="s">
        <v>7</v>
      </c>
      <c r="K1" s="1" t="s">
        <v>8</v>
      </c>
      <c r="L1" s="1" t="s">
        <v>36</v>
      </c>
      <c r="M1" s="1" t="s">
        <v>37</v>
      </c>
      <c r="N1" s="1" t="s">
        <v>3</v>
      </c>
      <c r="O1" s="1" t="s">
        <v>4</v>
      </c>
      <c r="P1" s="1" t="s">
        <v>5</v>
      </c>
      <c r="Q1" s="1" t="s">
        <v>6</v>
      </c>
    </row>
    <row r="2" spans="1:17" x14ac:dyDescent="0.2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4">
        <v>100</v>
      </c>
      <c r="G2" s="1" t="s">
        <v>19</v>
      </c>
      <c r="H2" s="1" t="s">
        <v>19</v>
      </c>
      <c r="I2" s="1">
        <v>1</v>
      </c>
      <c r="J2" s="5" t="s">
        <v>53</v>
      </c>
      <c r="K2" s="5" t="s">
        <v>54</v>
      </c>
      <c r="L2" s="1" t="s">
        <v>2</v>
      </c>
      <c r="M2" s="1" t="s">
        <v>55</v>
      </c>
      <c r="N2" s="1">
        <v>1</v>
      </c>
      <c r="O2" s="2">
        <v>29.26</v>
      </c>
      <c r="P2" s="2">
        <v>28.27</v>
      </c>
      <c r="Q2" s="3">
        <f>O2+P2</f>
        <v>57.53</v>
      </c>
    </row>
    <row r="3" spans="1:17" x14ac:dyDescent="0.25">
      <c r="A3" s="1">
        <v>1</v>
      </c>
      <c r="B3" s="1" t="s">
        <v>15</v>
      </c>
      <c r="C3" s="1" t="s">
        <v>16</v>
      </c>
      <c r="D3" s="1" t="s">
        <v>17</v>
      </c>
      <c r="E3" s="1" t="s">
        <v>18</v>
      </c>
      <c r="F3" s="4">
        <v>100</v>
      </c>
      <c r="G3" s="1" t="s">
        <v>19</v>
      </c>
      <c r="H3" s="1" t="s">
        <v>19</v>
      </c>
      <c r="I3" s="1">
        <v>2</v>
      </c>
      <c r="J3" s="5" t="s">
        <v>56</v>
      </c>
      <c r="K3" s="5" t="s">
        <v>57</v>
      </c>
      <c r="L3" s="1" t="s">
        <v>2</v>
      </c>
      <c r="M3" s="1" t="s">
        <v>2</v>
      </c>
      <c r="N3" s="1">
        <v>0</v>
      </c>
      <c r="O3" s="2">
        <v>18.79</v>
      </c>
      <c r="P3" s="2">
        <v>31.91</v>
      </c>
      <c r="Q3" s="3">
        <f t="shared" ref="Q3:Q13" si="0">O3+P3</f>
        <v>50.7</v>
      </c>
    </row>
    <row r="4" spans="1:17" x14ac:dyDescent="0.25">
      <c r="A4" s="1">
        <v>1</v>
      </c>
      <c r="B4" s="1" t="s">
        <v>15</v>
      </c>
      <c r="C4" s="1" t="s">
        <v>16</v>
      </c>
      <c r="D4" s="1" t="s">
        <v>17</v>
      </c>
      <c r="E4" s="1" t="s">
        <v>18</v>
      </c>
      <c r="F4" s="4">
        <v>100</v>
      </c>
      <c r="G4" s="1" t="s">
        <v>19</v>
      </c>
      <c r="H4" s="1" t="s">
        <v>19</v>
      </c>
      <c r="I4" s="1">
        <v>3</v>
      </c>
      <c r="J4" s="5" t="s">
        <v>58</v>
      </c>
      <c r="K4" s="5" t="s">
        <v>54</v>
      </c>
      <c r="L4" s="1" t="s">
        <v>2</v>
      </c>
      <c r="M4" s="1" t="s">
        <v>55</v>
      </c>
      <c r="N4" s="1">
        <v>1</v>
      </c>
      <c r="O4" s="2">
        <v>27.92</v>
      </c>
      <c r="P4" s="2">
        <v>28.27</v>
      </c>
      <c r="Q4" s="3">
        <f t="shared" si="0"/>
        <v>56.19</v>
      </c>
    </row>
    <row r="5" spans="1:17" x14ac:dyDescent="0.25">
      <c r="A5" s="1">
        <v>2</v>
      </c>
      <c r="B5" t="s">
        <v>21</v>
      </c>
      <c r="C5" s="1" t="s">
        <v>20</v>
      </c>
      <c r="D5" s="1" t="s">
        <v>22</v>
      </c>
      <c r="E5" s="1" t="s">
        <v>18</v>
      </c>
      <c r="F5" s="4">
        <v>150</v>
      </c>
      <c r="G5" s="1" t="s">
        <v>23</v>
      </c>
      <c r="H5" s="1" t="s">
        <v>19</v>
      </c>
      <c r="I5" s="1">
        <v>1</v>
      </c>
      <c r="J5" s="5" t="s">
        <v>59</v>
      </c>
      <c r="K5" s="5" t="s">
        <v>60</v>
      </c>
      <c r="L5" s="1" t="s">
        <v>55</v>
      </c>
      <c r="M5" s="1" t="s">
        <v>2</v>
      </c>
      <c r="N5" s="1">
        <v>1</v>
      </c>
      <c r="O5" s="6">
        <v>51.23</v>
      </c>
      <c r="P5" s="2">
        <v>51.96</v>
      </c>
      <c r="Q5" s="3">
        <f t="shared" si="0"/>
        <v>103.19</v>
      </c>
    </row>
    <row r="6" spans="1:17" x14ac:dyDescent="0.25">
      <c r="A6" s="1">
        <v>2</v>
      </c>
      <c r="B6" s="1" t="s">
        <v>21</v>
      </c>
      <c r="C6" s="1" t="s">
        <v>20</v>
      </c>
      <c r="D6" s="1" t="s">
        <v>22</v>
      </c>
      <c r="E6" s="1" t="s">
        <v>18</v>
      </c>
      <c r="F6" s="4">
        <v>150</v>
      </c>
      <c r="G6" s="1" t="s">
        <v>23</v>
      </c>
      <c r="H6" s="1" t="s">
        <v>19</v>
      </c>
      <c r="I6" s="1">
        <v>2</v>
      </c>
      <c r="J6" s="5" t="s">
        <v>61</v>
      </c>
      <c r="K6" s="5" t="s">
        <v>62</v>
      </c>
      <c r="L6" s="1" t="s">
        <v>55</v>
      </c>
      <c r="M6" s="1" t="s">
        <v>2</v>
      </c>
      <c r="N6" s="1">
        <v>1</v>
      </c>
      <c r="O6" s="2">
        <v>73.2</v>
      </c>
      <c r="P6" s="2">
        <v>65.22</v>
      </c>
      <c r="Q6" s="3">
        <f t="shared" si="0"/>
        <v>138.42000000000002</v>
      </c>
    </row>
    <row r="7" spans="1:17" x14ac:dyDescent="0.25">
      <c r="A7" s="1">
        <v>2</v>
      </c>
      <c r="B7" s="1" t="s">
        <v>21</v>
      </c>
      <c r="C7" s="1" t="s">
        <v>20</v>
      </c>
      <c r="D7" s="1" t="s">
        <v>22</v>
      </c>
      <c r="E7" s="1" t="s">
        <v>18</v>
      </c>
      <c r="F7" s="4">
        <v>150</v>
      </c>
      <c r="G7" s="1" t="s">
        <v>23</v>
      </c>
      <c r="H7" s="1" t="s">
        <v>19</v>
      </c>
      <c r="I7" s="1">
        <v>3</v>
      </c>
      <c r="J7" s="5" t="s">
        <v>63</v>
      </c>
      <c r="K7" s="5" t="s">
        <v>64</v>
      </c>
      <c r="L7" s="1" t="s">
        <v>2</v>
      </c>
      <c r="M7" s="1" t="s">
        <v>2</v>
      </c>
      <c r="N7" s="1">
        <v>0</v>
      </c>
      <c r="O7" s="2">
        <v>40.08</v>
      </c>
      <c r="P7" s="6">
        <v>46.24</v>
      </c>
      <c r="Q7" s="3">
        <f t="shared" si="0"/>
        <v>86.32</v>
      </c>
    </row>
    <row r="8" spans="1:17" x14ac:dyDescent="0.25">
      <c r="A8" s="1">
        <v>3</v>
      </c>
      <c r="B8" s="1" t="s">
        <v>25</v>
      </c>
      <c r="C8" s="1" t="s">
        <v>24</v>
      </c>
      <c r="D8" s="1" t="s">
        <v>26</v>
      </c>
      <c r="E8" s="1" t="s">
        <v>27</v>
      </c>
      <c r="F8" s="4">
        <v>120</v>
      </c>
      <c r="G8" s="1" t="s">
        <v>28</v>
      </c>
      <c r="H8" s="1" t="s">
        <v>29</v>
      </c>
      <c r="I8" s="1">
        <v>1</v>
      </c>
      <c r="J8" s="5" t="s">
        <v>65</v>
      </c>
      <c r="K8" s="5" t="s">
        <v>66</v>
      </c>
      <c r="L8" s="1" t="s">
        <v>2</v>
      </c>
      <c r="M8" s="1" t="s">
        <v>2</v>
      </c>
      <c r="N8" s="1">
        <v>0</v>
      </c>
      <c r="O8" s="2">
        <v>35.43</v>
      </c>
      <c r="P8" s="6">
        <v>38.49</v>
      </c>
      <c r="Q8" s="3">
        <f t="shared" si="0"/>
        <v>73.92</v>
      </c>
    </row>
    <row r="9" spans="1:17" x14ac:dyDescent="0.25">
      <c r="A9" s="1">
        <v>3</v>
      </c>
      <c r="B9" s="1" t="s">
        <v>25</v>
      </c>
      <c r="C9" s="1" t="s">
        <v>24</v>
      </c>
      <c r="D9" s="1" t="s">
        <v>26</v>
      </c>
      <c r="E9" s="1" t="s">
        <v>27</v>
      </c>
      <c r="F9" s="4">
        <v>120</v>
      </c>
      <c r="G9" s="1" t="s">
        <v>28</v>
      </c>
      <c r="H9" s="1" t="s">
        <v>29</v>
      </c>
      <c r="I9" s="1">
        <v>2</v>
      </c>
      <c r="J9" s="5" t="s">
        <v>67</v>
      </c>
      <c r="K9" s="5" t="s">
        <v>68</v>
      </c>
      <c r="L9" s="1" t="s">
        <v>2</v>
      </c>
      <c r="M9" s="1" t="s">
        <v>2</v>
      </c>
      <c r="N9" s="1">
        <v>0</v>
      </c>
      <c r="O9" s="2">
        <v>19.37</v>
      </c>
      <c r="P9" s="2">
        <v>30.12</v>
      </c>
      <c r="Q9" s="3">
        <f t="shared" si="0"/>
        <v>49.49</v>
      </c>
    </row>
    <row r="10" spans="1:17" x14ac:dyDescent="0.25">
      <c r="A10" s="1">
        <v>3</v>
      </c>
      <c r="B10" s="1" t="s">
        <v>25</v>
      </c>
      <c r="C10" s="1" t="s">
        <v>24</v>
      </c>
      <c r="D10" s="1" t="s">
        <v>26</v>
      </c>
      <c r="E10" s="1" t="s">
        <v>27</v>
      </c>
      <c r="F10" s="4">
        <v>120</v>
      </c>
      <c r="G10" s="1" t="s">
        <v>28</v>
      </c>
      <c r="H10" s="1" t="s">
        <v>29</v>
      </c>
      <c r="I10" s="1">
        <v>3</v>
      </c>
      <c r="J10" s="5" t="s">
        <v>69</v>
      </c>
      <c r="K10" s="5" t="s">
        <v>70</v>
      </c>
      <c r="L10" s="1" t="s">
        <v>2</v>
      </c>
      <c r="M10" s="1" t="s">
        <v>2</v>
      </c>
      <c r="N10" s="1">
        <v>0</v>
      </c>
      <c r="O10" s="6">
        <v>29.52</v>
      </c>
      <c r="P10" s="2">
        <v>57.72</v>
      </c>
      <c r="Q10" s="3">
        <f t="shared" si="0"/>
        <v>87.24</v>
      </c>
    </row>
    <row r="11" spans="1:17" x14ac:dyDescent="0.25">
      <c r="A11" s="1">
        <v>4</v>
      </c>
      <c r="B11" s="1" t="s">
        <v>30</v>
      </c>
      <c r="C11" s="1" t="s">
        <v>31</v>
      </c>
      <c r="D11" s="1" t="s">
        <v>71</v>
      </c>
      <c r="E11" s="1" t="s">
        <v>18</v>
      </c>
      <c r="F11" s="4">
        <v>150</v>
      </c>
      <c r="G11" s="1" t="s">
        <v>19</v>
      </c>
      <c r="H11" s="1" t="s">
        <v>19</v>
      </c>
      <c r="I11" s="1">
        <v>1</v>
      </c>
      <c r="J11" s="5" t="s">
        <v>72</v>
      </c>
      <c r="K11" s="5" t="s">
        <v>73</v>
      </c>
      <c r="L11" s="1" t="s">
        <v>2</v>
      </c>
      <c r="M11" s="1" t="s">
        <v>2</v>
      </c>
      <c r="N11" s="1">
        <v>0</v>
      </c>
      <c r="O11" s="2">
        <v>10.11</v>
      </c>
      <c r="P11" s="2">
        <v>30.98</v>
      </c>
      <c r="Q11" s="3">
        <f t="shared" si="0"/>
        <v>41.09</v>
      </c>
    </row>
    <row r="12" spans="1:17" x14ac:dyDescent="0.25">
      <c r="A12" s="1">
        <v>4</v>
      </c>
      <c r="B12" s="1" t="s">
        <v>30</v>
      </c>
      <c r="C12" s="1" t="s">
        <v>31</v>
      </c>
      <c r="D12" s="1" t="s">
        <v>71</v>
      </c>
      <c r="E12" s="1" t="s">
        <v>18</v>
      </c>
      <c r="F12" s="4">
        <v>150</v>
      </c>
      <c r="G12" s="1" t="s">
        <v>19</v>
      </c>
      <c r="H12" s="1" t="s">
        <v>19</v>
      </c>
      <c r="I12" s="1">
        <v>2</v>
      </c>
      <c r="J12" s="5" t="s">
        <v>74</v>
      </c>
      <c r="K12" s="5" t="s">
        <v>75</v>
      </c>
      <c r="L12" s="1" t="s">
        <v>2</v>
      </c>
      <c r="M12" s="1" t="s">
        <v>2</v>
      </c>
      <c r="N12" s="1">
        <v>0</v>
      </c>
      <c r="O12" s="6">
        <v>16.670000000000002</v>
      </c>
      <c r="P12" s="2">
        <v>18.149999999999999</v>
      </c>
      <c r="Q12" s="3">
        <f t="shared" si="0"/>
        <v>34.82</v>
      </c>
    </row>
    <row r="13" spans="1:17" x14ac:dyDescent="0.25">
      <c r="A13" s="1">
        <v>4</v>
      </c>
      <c r="B13" s="1" t="s">
        <v>30</v>
      </c>
      <c r="C13" s="1" t="s">
        <v>31</v>
      </c>
      <c r="D13" s="1" t="s">
        <v>71</v>
      </c>
      <c r="E13" s="1" t="s">
        <v>18</v>
      </c>
      <c r="F13" s="4">
        <v>150</v>
      </c>
      <c r="G13" s="1" t="s">
        <v>19</v>
      </c>
      <c r="H13" s="1" t="s">
        <v>19</v>
      </c>
      <c r="I13" s="1">
        <v>3</v>
      </c>
      <c r="J13" s="5" t="s">
        <v>76</v>
      </c>
      <c r="K13" s="5" t="s">
        <v>77</v>
      </c>
      <c r="L13" s="1" t="s">
        <v>55</v>
      </c>
      <c r="M13" s="1" t="s">
        <v>2</v>
      </c>
      <c r="N13" s="1">
        <v>1</v>
      </c>
      <c r="O13" s="2">
        <v>14.22</v>
      </c>
      <c r="P13" s="2">
        <v>43.55</v>
      </c>
      <c r="Q13" s="3">
        <f t="shared" si="0"/>
        <v>57.769999999999996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8838-477D-42D2-9AC8-06D3184223CE}">
  <dimension ref="A1:D13"/>
  <sheetViews>
    <sheetView zoomScale="145" zoomScaleNormal="145" workbookViewId="0">
      <selection activeCell="C11" sqref="C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86</v>
      </c>
      <c r="D1" s="1" t="s">
        <v>87</v>
      </c>
    </row>
    <row r="2" spans="1:4" x14ac:dyDescent="0.25">
      <c r="A2" s="1">
        <v>1</v>
      </c>
      <c r="B2" s="1">
        <v>1</v>
      </c>
      <c r="C2" s="1" t="s">
        <v>84</v>
      </c>
      <c r="D2" s="1" t="s">
        <v>85</v>
      </c>
    </row>
    <row r="3" spans="1:4" x14ac:dyDescent="0.25">
      <c r="A3" s="1">
        <v>1</v>
      </c>
      <c r="B3" s="1">
        <v>2</v>
      </c>
      <c r="C3" s="1" t="s">
        <v>84</v>
      </c>
      <c r="D3" s="1" t="s">
        <v>85</v>
      </c>
    </row>
    <row r="4" spans="1:4" x14ac:dyDescent="0.25">
      <c r="A4" s="1">
        <v>1</v>
      </c>
      <c r="B4" s="1">
        <v>3</v>
      </c>
      <c r="C4" s="1" t="s">
        <v>85</v>
      </c>
      <c r="D4" s="1" t="s">
        <v>84</v>
      </c>
    </row>
    <row r="5" spans="1:4" x14ac:dyDescent="0.25">
      <c r="A5" s="1">
        <v>2</v>
      </c>
      <c r="B5" s="1">
        <v>1</v>
      </c>
      <c r="C5" s="1" t="s">
        <v>85</v>
      </c>
      <c r="D5" s="1" t="s">
        <v>84</v>
      </c>
    </row>
    <row r="6" spans="1:4" x14ac:dyDescent="0.25">
      <c r="A6" s="1">
        <v>2</v>
      </c>
      <c r="B6" s="1">
        <v>2</v>
      </c>
      <c r="C6" s="1" t="s">
        <v>84</v>
      </c>
      <c r="D6" s="1" t="s">
        <v>85</v>
      </c>
    </row>
    <row r="7" spans="1:4" x14ac:dyDescent="0.25">
      <c r="A7" s="1">
        <v>2</v>
      </c>
      <c r="B7" s="1">
        <v>3</v>
      </c>
      <c r="C7" s="1" t="s">
        <v>85</v>
      </c>
      <c r="D7" s="1" t="s">
        <v>84</v>
      </c>
    </row>
    <row r="8" spans="1:4" x14ac:dyDescent="0.25">
      <c r="A8" s="1">
        <v>3</v>
      </c>
      <c r="B8" s="1">
        <v>1</v>
      </c>
      <c r="C8" s="1" t="s">
        <v>85</v>
      </c>
      <c r="D8" s="1" t="s">
        <v>84</v>
      </c>
    </row>
    <row r="9" spans="1:4" x14ac:dyDescent="0.25">
      <c r="A9" s="1">
        <v>3</v>
      </c>
      <c r="B9" s="1">
        <v>2</v>
      </c>
      <c r="C9" s="1" t="s">
        <v>84</v>
      </c>
      <c r="D9" s="1" t="s">
        <v>85</v>
      </c>
    </row>
    <row r="10" spans="1:4" x14ac:dyDescent="0.25">
      <c r="A10" s="1">
        <v>3</v>
      </c>
      <c r="B10" s="1">
        <v>3</v>
      </c>
      <c r="C10" s="1" t="s">
        <v>84</v>
      </c>
      <c r="D10" s="1" t="s">
        <v>85</v>
      </c>
    </row>
    <row r="11" spans="1:4" x14ac:dyDescent="0.25">
      <c r="A11" s="1">
        <v>4</v>
      </c>
      <c r="B11" s="1">
        <v>1</v>
      </c>
      <c r="C11" s="1" t="s">
        <v>84</v>
      </c>
      <c r="D11" s="1" t="s">
        <v>85</v>
      </c>
    </row>
    <row r="12" spans="1:4" x14ac:dyDescent="0.25">
      <c r="A12" s="1">
        <v>4</v>
      </c>
      <c r="B12" s="1">
        <v>2</v>
      </c>
      <c r="C12" s="1" t="s">
        <v>85</v>
      </c>
      <c r="D12" s="1" t="s">
        <v>84</v>
      </c>
    </row>
    <row r="13" spans="1:4" x14ac:dyDescent="0.25">
      <c r="A13" s="1">
        <v>4</v>
      </c>
      <c r="B13" s="1">
        <v>3</v>
      </c>
      <c r="C13" s="1" t="s">
        <v>85</v>
      </c>
      <c r="D13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KG</vt:lpstr>
      <vt:lpstr>KG+GA</vt:lpstr>
      <vt:lpstr>Survey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 Peng Victor Jong</dc:creator>
  <cp:lastModifiedBy>Soon Peng Victor Jong</cp:lastModifiedBy>
  <dcterms:created xsi:type="dcterms:W3CDTF">2026-04-19T05:17:11Z</dcterms:created>
  <dcterms:modified xsi:type="dcterms:W3CDTF">2026-04-19T08:34:49Z</dcterms:modified>
</cp:coreProperties>
</file>